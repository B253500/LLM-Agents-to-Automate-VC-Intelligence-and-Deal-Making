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10"/>
  <workbookPr defaultThemeVersion="124226"/>
  <mc:AlternateContent xmlns:mc="http://schemas.openxmlformats.org/markup-compatibility/2006">
    <mc:Choice Requires="x15">
      <x15ac:absPath xmlns:x15ac="http://schemas.microsoft.com/office/spreadsheetml/2010/11/ac" url="/Users/ak/Desktop/Final/Submission_VC_Agents/user feedback/"/>
    </mc:Choice>
  </mc:AlternateContent>
  <xr:revisionPtr revIDLastSave="0" documentId="13_ncr:1_{269971EB-1BB5-F44F-9510-E9B5E165FB44}" xr6:coauthVersionLast="47" xr6:coauthVersionMax="47" xr10:uidLastSave="{00000000-0000-0000-0000-000000000000}"/>
  <bookViews>
    <workbookView xWindow="0" yWindow="820" windowWidth="27040" windowHeight="15700" xr2:uid="{00000000-000D-0000-FFFF-FFFF00000000}"/>
  </bookViews>
  <sheets>
    <sheet name="Ratings" sheetId="1" r:id="rId1"/>
    <sheet name="Instruction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C10" i="1"/>
  <c r="D10" i="1"/>
  <c r="E10" i="1"/>
  <c r="F10" i="1"/>
  <c r="L10" i="1"/>
  <c r="M10" i="1"/>
  <c r="N10" i="1"/>
  <c r="P10" i="1"/>
  <c r="O10" i="1" l="1"/>
  <c r="K10" i="1"/>
  <c r="J10" i="1"/>
  <c r="H10" i="1"/>
  <c r="B10" i="1"/>
  <c r="G10" i="1"/>
</calcChain>
</file>

<file path=xl/sharedStrings.xml><?xml version="1.0" encoding="utf-8"?>
<sst xmlns="http://schemas.openxmlformats.org/spreadsheetml/2006/main" count="91" uniqueCount="89">
  <si>
    <t>Overall usefullness 1-5</t>
  </si>
  <si>
    <t>Completeness 1-5</t>
  </si>
  <si>
    <t>Product description quality 1-5</t>
  </si>
  <si>
    <t>Competitor section quality 1-5</t>
  </si>
  <si>
    <t>Risk Assessment quality 1-5</t>
  </si>
  <si>
    <t>Factual accuracy 1-5</t>
  </si>
  <si>
    <t>Market size section 1-5</t>
  </si>
  <si>
    <t>Overall readbility 1-5</t>
  </si>
  <si>
    <t>Key executives section 1-5</t>
  </si>
  <si>
    <t>Bussiness model clarity 1-5</t>
  </si>
  <si>
    <t>Exit strategy claritiy 1-5</t>
  </si>
  <si>
    <t>ESG considerations 1-5</t>
  </si>
  <si>
    <t>Presentation 1-5</t>
  </si>
  <si>
    <t>Follow up questions 1-5</t>
  </si>
  <si>
    <t>Woud you use this investment memo as initial draft? 1-5</t>
  </si>
  <si>
    <t>Strenghts comment</t>
  </si>
  <si>
    <t>Weakness comment</t>
  </si>
  <si>
    <t>Rating guide (5 = strong, 1 = weak)</t>
  </si>
  <si>
    <t>Criterion</t>
  </si>
  <si>
    <t>5 – Strong</t>
  </si>
  <si>
    <t>1 – Weak</t>
  </si>
  <si>
    <t>Overall usefulness</t>
  </si>
  <si>
    <t>Memo can be acted on immediately with minimal extra work; insights are clear, relevant, and decision-ready.</t>
  </si>
  <si>
    <t>Memo is largely unusable; provides little actionable value or clarity.</t>
  </si>
  <si>
    <t>Completeness</t>
  </si>
  <si>
    <t>Covers every section in depth; no obvious omissions.</t>
  </si>
  <si>
    <t>Major sections missing or skeletal; critical gaps.</t>
  </si>
  <si>
    <t>Product description quality</t>
  </si>
  <si>
    <t>Crisp, accurate explanation of product, tech and USPs; reader grasps “what &amp; why” instantly.</t>
  </si>
  <si>
    <t>Vague, generic or incorrect; leaves reader unsure what the startup actually offers.</t>
  </si>
  <si>
    <t>Competitor section quality</t>
  </si>
  <si>
    <t>Thorough landscape mapping; meaningful comparisons and differentiation.</t>
  </si>
  <si>
    <t>Few or no competitors listed; superficial or incorrect comparisons.</t>
  </si>
  <si>
    <t>Risk assessment quality</t>
  </si>
  <si>
    <t>Identifies key technical, market, financial and execution risks with balanced mitigation notes.</t>
  </si>
  <si>
    <t>Risks barely mentioned, generic, or irrelevant; no sense of severity or mitigation.</t>
  </si>
  <si>
    <t>Factual accuracy</t>
  </si>
  <si>
    <t>All facts verifiable; no material errors.</t>
  </si>
  <si>
    <t>Numerous inaccuracies or unsupported claims.</t>
  </si>
  <si>
    <t>Overall readability</t>
  </si>
  <si>
    <t>Flows logically, plain English, professional tone; easy to skim and deep-read.</t>
  </si>
  <si>
    <t>Disorganised, jargon-heavy, awkward grammar; hard to follow.</t>
  </si>
  <si>
    <t>Market size section</t>
  </si>
  <si>
    <t>Sound TAM/SAM/SOM estimates with reputable sources and clear assumptions.</t>
  </si>
  <si>
    <t>Figures absent, outdated or unsubstantiated; methodology unclear.</t>
  </si>
  <si>
    <t>Key executives section</t>
  </si>
  <si>
    <t>Complete, up-to-date bios highlighting relevant track record and roles.</t>
  </si>
  <si>
    <t>Missing leaders, outdated or perfunctory bios.</t>
  </si>
  <si>
    <t>Business model clarity</t>
  </si>
  <si>
    <t>Revenue streams, pricing and unit economics explained and make sense.</t>
  </si>
  <si>
    <t>Model unclear, incomplete or obviously flawed.</t>
  </si>
  <si>
    <t>Exit strategy clarity</t>
  </si>
  <si>
    <t>Plausible exit paths, timelines and comparables articulated.</t>
  </si>
  <si>
    <t>Exit discussion missing, vague or unrealistic.</t>
  </si>
  <si>
    <t>ESG considerations</t>
  </si>
  <si>
    <t>Material ESG factors identified with actionable commentary.</t>
  </si>
  <si>
    <t>ESG ignored or token mention only.</t>
  </si>
  <si>
    <t>Presentation</t>
  </si>
  <si>
    <t>Professional layout, clean formatting, graphs/images enhance understanding.</t>
  </si>
  <si>
    <t>Messy formatting, inconsistent fonts, visuals missing or distracting.</t>
  </si>
  <si>
    <t>Follow-up questions</t>
  </si>
  <si>
    <t>Thought-provoking, specific questions that would advance diligence.</t>
  </si>
  <si>
    <t>Generic or irrelevant questions, or none at all.</t>
  </si>
  <si>
    <t>Would you use as initial draft?</t>
  </si>
  <si>
    <t>Unreserved “yes” – would adopt with minimal edits.</t>
  </si>
  <si>
    <t>Clear “no” – would start again from scratch.</t>
  </si>
  <si>
    <t>Strengths comment</t>
  </si>
  <si>
    <t>Highlights 1-3 standout positives succinctly.</t>
  </si>
  <si>
    <t>N/A (field is free-text).</t>
  </si>
  <si>
    <t>Weaknesses comment</t>
  </si>
  <si>
    <t>Pinpoints critical shortcomings constructively.</t>
  </si>
  <si>
    <t>Time to draft (hrs)</t>
  </si>
  <si>
    <t>Benchmark only – analyst estimates honest hours they’d need given same deck.</t>
  </si>
  <si>
    <t>From you expectation how long would it take for you to draft similar investment memo with given deck (in hours)</t>
  </si>
  <si>
    <t>Automatic generated EquityBee investment memo is a high-quality, well-structured document. It effectively covers all key sections required for an investor, including a company overview, problem statement, solution, market analysis, and risk assessment. The memo's key strengths lie in its detailed risk analysis, comprehensive data collection, and a clear "next steps" section that outlines further due diligence.</t>
  </si>
  <si>
    <t>12 hours</t>
  </si>
  <si>
    <t>No weakness</t>
  </si>
  <si>
    <t>quite detailed</t>
  </si>
  <si>
    <t>It is difficult to read continuous blocks of text; more data visualization and charts are needed.</t>
  </si>
  <si>
    <t>8-10</t>
  </si>
  <si>
    <t>As a disclaimer, I am judging the strengths of this memo as if it were a summary of the company/transaction. I would 100% use this automatically generated memo to screen deals and as support as I write my investment memo. I also like that it transparently shows uncertainty ("may", "seems", etc.) and states where additional diligence/research is needed as opposed to hallucinating. The memo covers a comprehensive list of sections--though I'm not sure if these were preset search conditions/sections.</t>
  </si>
  <si>
    <t>As a disclaimer, I am judging the strengths of this memo as if it were an initial draft of a memo I would bring for Deal Review (prior to IC). The main issue for is that the business model and tech of the company was not clearly and granularly explained (though I understand the sources may have been limited). Beyond that, the competitors were adjacent (non-direct), which does not allow for an apples-to-apples comparison--which, in turn, lowers the quality of the risk analysis. Risk section is missing key concepts related to stock option valuation, counterparty dispute/failure, disintermediation, macro (down-round, slowdowns, etc.), concentration, etc., which should be mentioned with a caveat that DD is required. For the exit strat section, the next level would be providing potential names that would acquire the company--or at least types of companies in detail.</t>
  </si>
  <si>
    <t>Avg.</t>
  </si>
  <si>
    <t>Good structure and language</t>
  </si>
  <si>
    <t>Too broad and vague, lacks specifics (most of conclusions could be applicable to any startup), many repetitions, lack of visual component</t>
  </si>
  <si>
    <t>1. Good language and logics of narrative.
2. Well-structured and consequential.</t>
  </si>
  <si>
    <t xml:space="preserve">1. Pretty noticable portion of obviously formalized, pattern-based overwhelming text. Seem to exploit too many exended descriptional instruments, while lacking stressing on figures and their more comprehensive explanation.
2. Points 4. and 5. are excessively repeating already mentioned basics of the topic.
3. Point 14. sounds like copy&amp;paste: scarce and not tailored to the case in hand. </t>
  </si>
  <si>
    <t>6+ hours, provided that all necessary factual data is available or easily accessible.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</si>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</sst>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family val="2"/>
      <scheme val="minor"/>
    </font>
    <font>
      <b/>
      <sz val="11"/>
      <color theme="1"/>
      <name val="Calibri"/>
      <family val="2"/>
      <scheme val="minor"/>
    </font>
    <font>
      <b/>
      <sz val="13.5"/>
      <color theme="1"/>
      <name val="Calibri"/>
      <family val="2"/>
      <scheme val="minor"/>
    </font>
    <font>
      <b/>
      <sz val="12"/>
      <color theme="1"/>
      <name val="Times New Roman"/>
      <family val="1"/>
    </font>
    <font>
      <sz val="12"/>
      <color theme="1"/>
      <name val="Times New Roman"/>
      <family val="1"/>
    </font>
  </fonts>
  <fills count="2">
    <fill>
      <patternFill patternType="none"/>
    </fill>
    <fill>
      <patternFill patternType="gray125"/>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s>
  <cellStyleXfs count="1">
    <xf numFmtId="0" fontId="0" fillId="0" borderId="0"/>
  </cellStyleXfs>
  <cellXfs count="22">
    <xf numFmtId="0" fontId="0" fillId="0" borderId="0" xfId="0"/>
    <xf numFmtId="0" fontId="2"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3" fillId="0" borderId="1" xfId="0" applyFont="1" applyBorder="1" applyAlignment="1">
      <alignment vertical="top"/>
    </xf>
    <xf numFmtId="0" fontId="4" fillId="0" borderId="0" xfId="0" applyFont="1"/>
    <xf numFmtId="0" fontId="4" fillId="0" borderId="1" xfId="0" applyFont="1" applyBorder="1"/>
    <xf numFmtId="0" fontId="4" fillId="0" borderId="1" xfId="0" applyFont="1" applyBorder="1" applyAlignment="1">
      <alignment wrapText="1"/>
    </xf>
    <xf numFmtId="16" fontId="4" fillId="0" borderId="1" xfId="0" quotePrefix="1" applyNumberFormat="1" applyFont="1" applyBorder="1"/>
    <xf numFmtId="164" fontId="3" fillId="0" borderId="0" xfId="0" applyNumberFormat="1" applyFont="1" applyAlignment="1">
      <alignment horizontal="center" vertical="center"/>
    </xf>
    <xf numFmtId="0" fontId="4" fillId="0" borderId="2" xfId="0" applyFont="1" applyBorder="1"/>
    <xf numFmtId="0" fontId="4" fillId="0" borderId="1" xfId="0" applyFont="1" applyBorder="1" applyAlignment="1">
      <alignment horizontal="left" vertical="top" wrapText="1"/>
    </xf>
    <xf numFmtId="0" fontId="4" fillId="0" borderId="1" xfId="0" applyFont="1" applyBorder="1" applyAlignment="1">
      <alignment horizontal="left" vertical="top"/>
    </xf>
    <xf numFmtId="0" fontId="4" fillId="0" borderId="2" xfId="0" applyFont="1" applyBorder="1" applyAlignment="1">
      <alignment horizontal="left" vertical="top" wrapText="1"/>
    </xf>
    <xf numFmtId="0" fontId="4" fillId="0" borderId="3" xfId="0" applyFont="1" applyBorder="1" applyAlignment="1">
      <alignment horizontal="left" vertical="top" wrapText="1"/>
    </xf>
    <xf numFmtId="0" fontId="3" fillId="0" borderId="0" xfId="0" applyFont="1" applyAlignment="1">
      <alignment vertical="center"/>
    </xf>
    <xf numFmtId="0" fontId="3" fillId="0" borderId="1" xfId="0" applyFont="1" applyBorder="1" applyAlignment="1">
      <alignment horizontal="left" vertical="top"/>
    </xf>
    <xf numFmtId="0" fontId="4" fillId="0" borderId="1" xfId="0" applyFont="1" applyBorder="1" applyAlignment="1">
      <alignment horizontal="left"/>
    </xf>
    <xf numFmtId="164" fontId="3" fillId="0" borderId="0" xfId="0" applyNumberFormat="1" applyFont="1" applyAlignment="1">
      <alignment horizontal="left" vertical="center"/>
    </xf>
    <xf numFmtId="0" fontId="4" fillId="0" borderId="2" xfId="0" applyFont="1" applyBorder="1" applyAlignment="1">
      <alignment horizontal="left"/>
    </xf>
    <xf numFmtId="0" fontId="3" fillId="0" borderId="0" xfId="0" applyFont="1" applyAlignment="1">
      <alignment horizontal="lef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AK11"/>
  <sheetViews>
    <sheetView tabSelected="1" zoomScale="72" workbookViewId="0">
      <selection activeCell="A3" sqref="A3:Q11"/>
    </sheetView>
  </sheetViews>
  <sheetFormatPr baseColWidth="10" defaultColWidth="8.83203125" defaultRowHeight="16" x14ac:dyDescent="0.2"/>
  <cols>
    <col min="1" max="1" width="25.5" style="6" bestFit="1" customWidth="1"/>
    <col min="2" max="2" width="32.6640625" style="6" bestFit="1" customWidth="1"/>
    <col min="3" max="4" width="28.5" style="6" bestFit="1" customWidth="1"/>
    <col min="5" max="5" width="39.6640625" style="6" bestFit="1" customWidth="1"/>
    <col min="6" max="6" width="27.33203125" style="6" bestFit="1" customWidth="1"/>
    <col min="7" max="7" width="32.1640625" style="6" bestFit="1" customWidth="1"/>
    <col min="8" max="8" width="27.33203125" style="6" bestFit="1" customWidth="1"/>
    <col min="9" max="9" width="25.83203125" style="6" bestFit="1" customWidth="1"/>
    <col min="10" max="10" width="23.6640625" style="6" bestFit="1" customWidth="1"/>
    <col min="11" max="11" width="30" style="6" bestFit="1" customWidth="1"/>
    <col min="12" max="12" width="35.5" style="6" bestFit="1" customWidth="1"/>
    <col min="13" max="13" width="52.33203125" style="6" bestFit="1" customWidth="1"/>
    <col min="14" max="14" width="19.1640625" style="6" bestFit="1" customWidth="1"/>
    <col min="15" max="15" width="22" style="6" bestFit="1" customWidth="1"/>
    <col min="16" max="16" width="52.33203125" style="6" bestFit="1" customWidth="1"/>
    <col min="17" max="17" width="235.1640625" style="6" customWidth="1"/>
    <col min="18" max="18" width="72.5" style="6" bestFit="1" customWidth="1"/>
    <col min="19" max="19" width="102.6640625" style="6" bestFit="1" customWidth="1"/>
    <col min="20" max="16384" width="8.83203125" style="6"/>
  </cols>
  <sheetData>
    <row r="3" spans="1:37" x14ac:dyDescent="0.2">
      <c r="A3" s="17" t="s">
        <v>88</v>
      </c>
      <c r="B3" s="17" t="s">
        <v>0</v>
      </c>
      <c r="C3" s="17" t="s">
        <v>1</v>
      </c>
      <c r="D3" s="17" t="s">
        <v>2</v>
      </c>
      <c r="E3" s="17" t="s">
        <v>3</v>
      </c>
      <c r="F3" s="17" t="s">
        <v>4</v>
      </c>
      <c r="G3" s="17" t="s">
        <v>5</v>
      </c>
      <c r="H3" s="17" t="s">
        <v>7</v>
      </c>
      <c r="I3" s="17" t="s">
        <v>6</v>
      </c>
      <c r="J3" s="17" t="s">
        <v>8</v>
      </c>
      <c r="K3" s="17" t="s">
        <v>9</v>
      </c>
      <c r="L3" s="17" t="s">
        <v>10</v>
      </c>
      <c r="M3" s="17" t="s">
        <v>11</v>
      </c>
      <c r="N3" s="17" t="s">
        <v>12</v>
      </c>
      <c r="O3" s="17" t="s">
        <v>13</v>
      </c>
      <c r="P3" s="17" t="s">
        <v>14</v>
      </c>
      <c r="Q3" s="17" t="s">
        <v>15</v>
      </c>
      <c r="R3" s="5" t="s">
        <v>16</v>
      </c>
      <c r="S3" s="5" t="s">
        <v>73</v>
      </c>
    </row>
    <row r="4" spans="1:37" x14ac:dyDescent="0.2">
      <c r="A4" s="18">
        <v>1</v>
      </c>
      <c r="B4" s="18">
        <v>5</v>
      </c>
      <c r="C4" s="18">
        <v>5</v>
      </c>
      <c r="D4" s="18">
        <v>5</v>
      </c>
      <c r="E4" s="18">
        <v>5</v>
      </c>
      <c r="F4" s="18">
        <v>5</v>
      </c>
      <c r="G4" s="18">
        <v>5</v>
      </c>
      <c r="H4" s="18">
        <v>5</v>
      </c>
      <c r="I4" s="18">
        <v>5</v>
      </c>
      <c r="J4" s="18">
        <v>5</v>
      </c>
      <c r="K4" s="18">
        <v>5</v>
      </c>
      <c r="L4" s="18">
        <v>5</v>
      </c>
      <c r="M4" s="18">
        <v>5</v>
      </c>
      <c r="N4" s="18">
        <v>5</v>
      </c>
      <c r="O4" s="18">
        <v>5</v>
      </c>
      <c r="P4" s="18">
        <v>5</v>
      </c>
      <c r="Q4" s="18" t="s">
        <v>74</v>
      </c>
      <c r="R4" s="7" t="s">
        <v>76</v>
      </c>
      <c r="S4" s="7" t="s">
        <v>75</v>
      </c>
    </row>
    <row r="5" spans="1:37" ht="28" customHeight="1" x14ac:dyDescent="0.2">
      <c r="A5" s="18">
        <v>2</v>
      </c>
      <c r="B5" s="18">
        <v>4</v>
      </c>
      <c r="C5" s="18">
        <v>4</v>
      </c>
      <c r="D5" s="18">
        <v>4</v>
      </c>
      <c r="E5" s="18">
        <v>4</v>
      </c>
      <c r="F5" s="18">
        <v>4</v>
      </c>
      <c r="G5" s="18">
        <v>4</v>
      </c>
      <c r="H5" s="18">
        <v>4</v>
      </c>
      <c r="I5" s="18">
        <v>4</v>
      </c>
      <c r="J5" s="18">
        <v>4</v>
      </c>
      <c r="K5" s="18">
        <v>4</v>
      </c>
      <c r="L5" s="18">
        <v>4</v>
      </c>
      <c r="M5" s="18">
        <v>4</v>
      </c>
      <c r="N5" s="18">
        <v>4</v>
      </c>
      <c r="O5" s="18">
        <v>4</v>
      </c>
      <c r="P5" s="18">
        <v>4</v>
      </c>
      <c r="Q5" s="18" t="s">
        <v>77</v>
      </c>
      <c r="R5" s="8" t="s">
        <v>78</v>
      </c>
      <c r="S5" s="9" t="s">
        <v>79</v>
      </c>
    </row>
    <row r="6" spans="1:37" x14ac:dyDescent="0.2">
      <c r="A6" s="18">
        <v>3</v>
      </c>
      <c r="B6" s="18">
        <v>5</v>
      </c>
      <c r="C6" s="18">
        <v>4</v>
      </c>
      <c r="D6" s="18">
        <v>5</v>
      </c>
      <c r="E6" s="18">
        <v>5</v>
      </c>
      <c r="F6" s="18">
        <v>5</v>
      </c>
      <c r="G6" s="18">
        <v>5</v>
      </c>
      <c r="H6" s="18">
        <v>4</v>
      </c>
      <c r="I6" s="18">
        <v>5</v>
      </c>
      <c r="J6" s="18">
        <v>5</v>
      </c>
      <c r="K6" s="18">
        <v>5</v>
      </c>
      <c r="L6" s="18">
        <v>5</v>
      </c>
      <c r="M6" s="18">
        <v>5</v>
      </c>
      <c r="N6" s="18">
        <v>4</v>
      </c>
      <c r="O6" s="18">
        <v>5</v>
      </c>
      <c r="P6" s="18">
        <v>5</v>
      </c>
      <c r="Q6" s="18"/>
      <c r="R6" s="7"/>
      <c r="S6" s="7"/>
    </row>
    <row r="7" spans="1:37" x14ac:dyDescent="0.2">
      <c r="A7" s="18">
        <v>4</v>
      </c>
      <c r="B7" s="18">
        <v>3</v>
      </c>
      <c r="C7" s="18">
        <v>3</v>
      </c>
      <c r="D7" s="18">
        <v>3</v>
      </c>
      <c r="E7" s="18">
        <v>4</v>
      </c>
      <c r="F7" s="18">
        <v>5</v>
      </c>
      <c r="G7" s="18">
        <v>3</v>
      </c>
      <c r="H7" s="18">
        <v>5</v>
      </c>
      <c r="I7" s="18">
        <v>3</v>
      </c>
      <c r="J7" s="18">
        <v>5</v>
      </c>
      <c r="K7" s="18">
        <v>5</v>
      </c>
      <c r="L7" s="18">
        <v>3</v>
      </c>
      <c r="M7" s="18">
        <v>1</v>
      </c>
      <c r="N7" s="18">
        <v>3</v>
      </c>
      <c r="O7" s="18">
        <v>3</v>
      </c>
      <c r="P7" s="18">
        <v>3</v>
      </c>
      <c r="Q7" s="18" t="s">
        <v>83</v>
      </c>
      <c r="R7" s="7" t="s">
        <v>84</v>
      </c>
      <c r="S7" s="7"/>
    </row>
    <row r="8" spans="1:37" x14ac:dyDescent="0.2">
      <c r="A8" s="18">
        <v>5</v>
      </c>
      <c r="B8" s="19">
        <v>3.5</v>
      </c>
      <c r="C8" s="19">
        <v>3</v>
      </c>
      <c r="D8" s="19">
        <v>3.5</v>
      </c>
      <c r="E8" s="19">
        <v>2</v>
      </c>
      <c r="F8" s="19">
        <v>2.5</v>
      </c>
      <c r="G8" s="19">
        <v>3.5</v>
      </c>
      <c r="H8" s="19">
        <v>4.5</v>
      </c>
      <c r="I8" s="19">
        <v>2.5</v>
      </c>
      <c r="J8" s="19">
        <v>3.5</v>
      </c>
      <c r="K8" s="19">
        <v>2.5</v>
      </c>
      <c r="L8" s="19">
        <v>2.5</v>
      </c>
      <c r="M8" s="19">
        <v>3</v>
      </c>
      <c r="N8" s="19">
        <v>3.5</v>
      </c>
      <c r="O8" s="19">
        <v>2</v>
      </c>
      <c r="P8" s="19">
        <v>2</v>
      </c>
      <c r="Q8" s="20"/>
      <c r="R8" s="11"/>
      <c r="S8" s="11"/>
    </row>
    <row r="9" spans="1:37" ht="85" x14ac:dyDescent="0.2">
      <c r="A9" s="18">
        <v>6</v>
      </c>
      <c r="B9" s="17">
        <v>4</v>
      </c>
      <c r="C9" s="17">
        <v>4</v>
      </c>
      <c r="D9" s="17">
        <v>4</v>
      </c>
      <c r="E9" s="17">
        <v>5</v>
      </c>
      <c r="F9" s="17">
        <v>5</v>
      </c>
      <c r="G9" s="17">
        <v>4</v>
      </c>
      <c r="H9" s="17">
        <v>4</v>
      </c>
      <c r="I9" s="17">
        <v>4</v>
      </c>
      <c r="J9" s="17">
        <v>5</v>
      </c>
      <c r="K9" s="17">
        <v>5</v>
      </c>
      <c r="L9" s="17">
        <v>2</v>
      </c>
      <c r="M9" s="17">
        <v>3</v>
      </c>
      <c r="N9" s="17">
        <v>4</v>
      </c>
      <c r="O9" s="17">
        <v>3</v>
      </c>
      <c r="P9" s="17">
        <v>4</v>
      </c>
      <c r="Q9" s="12" t="s">
        <v>85</v>
      </c>
      <c r="R9" s="12" t="s">
        <v>86</v>
      </c>
      <c r="S9" s="13" t="s">
        <v>87</v>
      </c>
      <c r="T9" s="10"/>
      <c r="U9" s="10"/>
      <c r="V9" s="10"/>
      <c r="W9" s="10"/>
      <c r="X9" s="10"/>
      <c r="Y9" s="10"/>
      <c r="Z9" s="10"/>
      <c r="AA9" s="10"/>
      <c r="AB9" s="10"/>
      <c r="AC9" s="10"/>
      <c r="AD9" s="10"/>
      <c r="AE9" s="10"/>
      <c r="AF9" s="10"/>
      <c r="AG9" s="10"/>
      <c r="AH9" s="10"/>
      <c r="AI9" s="11"/>
      <c r="AJ9" s="11"/>
      <c r="AK9" s="11"/>
    </row>
    <row r="10" spans="1:37" x14ac:dyDescent="0.2">
      <c r="A10" s="21" t="s">
        <v>82</v>
      </c>
      <c r="B10" s="19">
        <f>AVERAGE(B4:B9)</f>
        <v>4.083333333333333</v>
      </c>
      <c r="C10" s="19">
        <f t="shared" ref="C10:P10" si="0">AVERAGE(C4:C9)</f>
        <v>3.8333333333333335</v>
      </c>
      <c r="D10" s="19">
        <f t="shared" si="0"/>
        <v>4.083333333333333</v>
      </c>
      <c r="E10" s="19">
        <f t="shared" si="0"/>
        <v>4.166666666666667</v>
      </c>
      <c r="F10" s="19">
        <f t="shared" si="0"/>
        <v>4.416666666666667</v>
      </c>
      <c r="G10" s="19">
        <f t="shared" si="0"/>
        <v>4.083333333333333</v>
      </c>
      <c r="H10" s="19">
        <f t="shared" si="0"/>
        <v>4.416666666666667</v>
      </c>
      <c r="I10" s="19">
        <f t="shared" si="0"/>
        <v>3.9166666666666665</v>
      </c>
      <c r="J10" s="19">
        <f t="shared" si="0"/>
        <v>4.583333333333333</v>
      </c>
      <c r="K10" s="19">
        <f t="shared" si="0"/>
        <v>4.416666666666667</v>
      </c>
      <c r="L10" s="19">
        <f t="shared" si="0"/>
        <v>3.5833333333333335</v>
      </c>
      <c r="M10" s="19">
        <f t="shared" si="0"/>
        <v>3.5</v>
      </c>
      <c r="N10" s="19">
        <f t="shared" si="0"/>
        <v>3.9166666666666665</v>
      </c>
      <c r="O10" s="19">
        <f t="shared" si="0"/>
        <v>3.6666666666666665</v>
      </c>
      <c r="P10" s="19">
        <f t="shared" si="0"/>
        <v>3.8333333333333335</v>
      </c>
      <c r="Q10" s="14" t="s">
        <v>80</v>
      </c>
      <c r="R10" s="14" t="s">
        <v>81</v>
      </c>
      <c r="S10" s="16"/>
    </row>
    <row r="11" spans="1:37" x14ac:dyDescent="0.2">
      <c r="A11" s="18"/>
      <c r="B11" s="18"/>
      <c r="C11" s="18"/>
      <c r="D11" s="18"/>
      <c r="E11" s="18"/>
      <c r="F11" s="18"/>
      <c r="G11" s="18"/>
      <c r="H11" s="18"/>
      <c r="I11" s="18"/>
      <c r="J11" s="18"/>
      <c r="K11" s="18"/>
      <c r="L11" s="18"/>
      <c r="M11" s="18"/>
      <c r="N11" s="18"/>
      <c r="O11" s="18"/>
      <c r="P11" s="18"/>
      <c r="Q11" s="15"/>
      <c r="R11" s="15"/>
      <c r="S11" s="7"/>
    </row>
  </sheetData>
  <mergeCells count="2">
    <mergeCell ref="Q10:Q11"/>
    <mergeCell ref="R10:R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1"/>
  <sheetViews>
    <sheetView workbookViewId="0">
      <selection activeCell="E4" sqref="E4"/>
    </sheetView>
  </sheetViews>
  <sheetFormatPr baseColWidth="10" defaultColWidth="8.83203125" defaultRowHeight="15" x14ac:dyDescent="0.2"/>
  <cols>
    <col min="1" max="3" width="27.5" customWidth="1"/>
  </cols>
  <sheetData>
    <row r="1" spans="1:3" ht="19" x14ac:dyDescent="0.2">
      <c r="A1" s="1" t="s">
        <v>17</v>
      </c>
    </row>
    <row r="3" spans="1:3" ht="16" x14ac:dyDescent="0.2">
      <c r="A3" s="2" t="s">
        <v>18</v>
      </c>
      <c r="B3" s="2" t="s">
        <v>19</v>
      </c>
      <c r="C3" s="2" t="s">
        <v>20</v>
      </c>
    </row>
    <row r="4" spans="1:3" ht="64" x14ac:dyDescent="0.2">
      <c r="A4" s="4" t="s">
        <v>21</v>
      </c>
      <c r="B4" s="3" t="s">
        <v>22</v>
      </c>
      <c r="C4" s="3" t="s">
        <v>23</v>
      </c>
    </row>
    <row r="5" spans="1:3" ht="32" x14ac:dyDescent="0.2">
      <c r="A5" s="4" t="s">
        <v>24</v>
      </c>
      <c r="B5" s="3" t="s">
        <v>25</v>
      </c>
      <c r="C5" s="3" t="s">
        <v>26</v>
      </c>
    </row>
    <row r="6" spans="1:3" ht="48" x14ac:dyDescent="0.2">
      <c r="A6" s="4" t="s">
        <v>27</v>
      </c>
      <c r="B6" s="3" t="s">
        <v>28</v>
      </c>
      <c r="C6" s="3" t="s">
        <v>29</v>
      </c>
    </row>
    <row r="7" spans="1:3" ht="48" x14ac:dyDescent="0.2">
      <c r="A7" s="4" t="s">
        <v>30</v>
      </c>
      <c r="B7" s="3" t="s">
        <v>31</v>
      </c>
      <c r="C7" s="3" t="s">
        <v>32</v>
      </c>
    </row>
    <row r="8" spans="1:3" ht="48" x14ac:dyDescent="0.2">
      <c r="A8" s="4" t="s">
        <v>33</v>
      </c>
      <c r="B8" s="3" t="s">
        <v>34</v>
      </c>
      <c r="C8" s="3" t="s">
        <v>35</v>
      </c>
    </row>
    <row r="9" spans="1:3" ht="32" x14ac:dyDescent="0.2">
      <c r="A9" s="4" t="s">
        <v>36</v>
      </c>
      <c r="B9" s="3" t="s">
        <v>37</v>
      </c>
      <c r="C9" s="3" t="s">
        <v>38</v>
      </c>
    </row>
    <row r="10" spans="1:3" ht="48" x14ac:dyDescent="0.2">
      <c r="A10" s="4" t="s">
        <v>39</v>
      </c>
      <c r="B10" s="3" t="s">
        <v>40</v>
      </c>
      <c r="C10" s="3" t="s">
        <v>41</v>
      </c>
    </row>
    <row r="11" spans="1:3" ht="48" x14ac:dyDescent="0.2">
      <c r="A11" s="4" t="s">
        <v>42</v>
      </c>
      <c r="B11" s="3" t="s">
        <v>43</v>
      </c>
      <c r="C11" s="3" t="s">
        <v>44</v>
      </c>
    </row>
    <row r="12" spans="1:3" ht="48" x14ac:dyDescent="0.2">
      <c r="A12" s="4" t="s">
        <v>45</v>
      </c>
      <c r="B12" s="3" t="s">
        <v>46</v>
      </c>
      <c r="C12" s="3" t="s">
        <v>47</v>
      </c>
    </row>
    <row r="13" spans="1:3" ht="48" x14ac:dyDescent="0.2">
      <c r="A13" s="4" t="s">
        <v>48</v>
      </c>
      <c r="B13" s="3" t="s">
        <v>49</v>
      </c>
      <c r="C13" s="3" t="s">
        <v>50</v>
      </c>
    </row>
    <row r="14" spans="1:3" ht="32" x14ac:dyDescent="0.2">
      <c r="A14" s="4" t="s">
        <v>51</v>
      </c>
      <c r="B14" s="3" t="s">
        <v>52</v>
      </c>
      <c r="C14" s="3" t="s">
        <v>53</v>
      </c>
    </row>
    <row r="15" spans="1:3" ht="32" x14ac:dyDescent="0.2">
      <c r="A15" s="4" t="s">
        <v>54</v>
      </c>
      <c r="B15" s="3" t="s">
        <v>55</v>
      </c>
      <c r="C15" s="3" t="s">
        <v>56</v>
      </c>
    </row>
    <row r="16" spans="1:3" ht="48" x14ac:dyDescent="0.2">
      <c r="A16" s="4" t="s">
        <v>57</v>
      </c>
      <c r="B16" s="3" t="s">
        <v>58</v>
      </c>
      <c r="C16" s="3" t="s">
        <v>59</v>
      </c>
    </row>
    <row r="17" spans="1:3" ht="48" x14ac:dyDescent="0.2">
      <c r="A17" s="4" t="s">
        <v>60</v>
      </c>
      <c r="B17" s="3" t="s">
        <v>61</v>
      </c>
      <c r="C17" s="3" t="s">
        <v>62</v>
      </c>
    </row>
    <row r="18" spans="1:3" ht="32" x14ac:dyDescent="0.2">
      <c r="A18" s="4" t="s">
        <v>63</v>
      </c>
      <c r="B18" s="3" t="s">
        <v>64</v>
      </c>
      <c r="C18" s="3" t="s">
        <v>65</v>
      </c>
    </row>
    <row r="19" spans="1:3" ht="32" x14ac:dyDescent="0.2">
      <c r="A19" s="4" t="s">
        <v>66</v>
      </c>
      <c r="B19" s="3" t="s">
        <v>67</v>
      </c>
      <c r="C19" s="3" t="s">
        <v>68</v>
      </c>
    </row>
    <row r="20" spans="1:3" ht="32" x14ac:dyDescent="0.2">
      <c r="A20" s="4" t="s">
        <v>69</v>
      </c>
      <c r="B20" s="3" t="s">
        <v>70</v>
      </c>
      <c r="C20" s="3" t="s">
        <v>68</v>
      </c>
    </row>
    <row r="21" spans="1:3" ht="48" x14ac:dyDescent="0.2">
      <c r="A21" s="4" t="s">
        <v>71</v>
      </c>
      <c r="B21" s="3" t="s">
        <v>72</v>
      </c>
      <c r="C21" s="3" t="s">
        <v>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Ratings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Azamat Kanatuly</dc:creator>
  <cp:lastModifiedBy>Azamat Kanatuly</cp:lastModifiedBy>
  <dcterms:created xsi:type="dcterms:W3CDTF">2025-07-25T11:15:43Z</dcterms:created>
  <dcterms:modified xsi:type="dcterms:W3CDTF">2025-08-20T06:08:58Z</dcterms:modified>
</cp:coreProperties>
</file>